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목록" sheetId="1" state="visible" r:id="rId1"/>
    <sheet xmlns:r="http://schemas.openxmlformats.org/officeDocument/2006/relationships" name="신청샘플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fund_cd</t>
        </is>
      </c>
      <c r="B1" s="1" t="inlineStr">
        <is>
          <t>fund_nm</t>
        </is>
      </c>
      <c r="C1" s="1" t="inlineStr">
        <is>
          <t>fund_type</t>
        </is>
      </c>
      <c r="D1" s="1" t="inlineStr">
        <is>
          <t>risk_grade</t>
        </is>
      </c>
      <c r="E1" s="1" t="inlineStr">
        <is>
          <t>sale_status</t>
        </is>
      </c>
      <c r="G1" t="inlineStr">
        <is>
          <t>※ 교육용 가상 자료 / risk_grade: 1(매우높은위험)~6(매우낮은위험)</t>
        </is>
      </c>
    </row>
    <row r="2">
      <c r="A2" s="2" t="inlineStr">
        <is>
          <t>VF01</t>
        </is>
      </c>
      <c r="B2" s="2" t="inlineStr">
        <is>
          <t>[가상]성장주식형</t>
        </is>
      </c>
      <c r="C2" s="2" t="inlineStr">
        <is>
          <t>주식형</t>
        </is>
      </c>
      <c r="D2" s="2" t="n">
        <v>1</v>
      </c>
      <c r="E2" s="2" t="inlineStr">
        <is>
          <t>판매중</t>
        </is>
      </c>
    </row>
    <row r="3">
      <c r="A3" s="2" t="inlineStr">
        <is>
          <t>VF02</t>
        </is>
      </c>
      <c r="B3" s="2" t="inlineStr">
        <is>
          <t>[가상]가치주식형</t>
        </is>
      </c>
      <c r="C3" s="2" t="inlineStr">
        <is>
          <t>주식형</t>
        </is>
      </c>
      <c r="D3" s="2" t="n">
        <v>2</v>
      </c>
      <c r="E3" s="2" t="inlineStr">
        <is>
          <t>판매중</t>
        </is>
      </c>
    </row>
    <row r="4">
      <c r="A4" s="2" t="inlineStr">
        <is>
          <t>VF03</t>
        </is>
      </c>
      <c r="B4" s="2" t="inlineStr">
        <is>
          <t>[가상]글로벌혼합형</t>
        </is>
      </c>
      <c r="C4" s="2" t="inlineStr">
        <is>
          <t>혼합형</t>
        </is>
      </c>
      <c r="D4" s="2" t="n">
        <v>3</v>
      </c>
      <c r="E4" s="2" t="inlineStr">
        <is>
          <t>판매중</t>
        </is>
      </c>
    </row>
    <row r="5">
      <c r="A5" s="2" t="inlineStr">
        <is>
          <t>VF04</t>
        </is>
      </c>
      <c r="B5" s="2" t="inlineStr">
        <is>
          <t>[가상]안정혼합형</t>
        </is>
      </c>
      <c r="C5" s="2" t="inlineStr">
        <is>
          <t>혼합형</t>
        </is>
      </c>
      <c r="D5" s="2" t="n">
        <v>4</v>
      </c>
      <c r="E5" s="2" t="inlineStr">
        <is>
          <t>판매중</t>
        </is>
      </c>
    </row>
    <row r="6">
      <c r="A6" s="2" t="inlineStr">
        <is>
          <t>VF05</t>
        </is>
      </c>
      <c r="B6" s="2" t="inlineStr">
        <is>
          <t>[가상]국공채형</t>
        </is>
      </c>
      <c r="C6" s="2" t="inlineStr">
        <is>
          <t>채권형</t>
        </is>
      </c>
      <c r="D6" s="2" t="n">
        <v>5</v>
      </c>
      <c r="E6" s="2" t="inlineStr">
        <is>
          <t>판매중</t>
        </is>
      </c>
    </row>
    <row r="7">
      <c r="A7" s="2" t="inlineStr">
        <is>
          <t>VF06</t>
        </is>
      </c>
      <c r="B7" s="2" t="inlineStr">
        <is>
          <t>[가상]단기채권형</t>
        </is>
      </c>
      <c r="C7" s="2" t="inlineStr">
        <is>
          <t>채권형</t>
        </is>
      </c>
      <c r="D7" s="2" t="n">
        <v>6</v>
      </c>
      <c r="E7" s="2" t="inlineStr">
        <is>
          <t>판매중</t>
        </is>
      </c>
    </row>
    <row r="8">
      <c r="A8" s="2" t="inlineStr">
        <is>
          <t>VF07</t>
        </is>
      </c>
      <c r="B8" s="2" t="inlineStr">
        <is>
          <t>[가상]신흥국주식형</t>
        </is>
      </c>
      <c r="C8" s="2" t="inlineStr">
        <is>
          <t>주식형</t>
        </is>
      </c>
      <c r="D8" s="2" t="n">
        <v>1</v>
      </c>
      <c r="E8" s="2" t="inlineStr">
        <is>
          <t>판매중지</t>
        </is>
      </c>
    </row>
    <row r="9">
      <c r="A9" s="2" t="inlineStr">
        <is>
          <t>VF08</t>
        </is>
      </c>
      <c r="B9" s="2" t="inlineStr">
        <is>
          <t>[가상]원자재혼합형</t>
        </is>
      </c>
      <c r="C9" s="2" t="inlineStr">
        <is>
          <t>혼합형</t>
        </is>
      </c>
      <c r="D9" s="2" t="n">
        <v>2</v>
      </c>
      <c r="E9" s="2" t="inlineStr">
        <is>
          <t>판매중지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req_no</t>
        </is>
      </c>
      <c r="B1" s="1" t="inlineStr">
        <is>
          <t>policy_no</t>
        </is>
      </c>
      <c r="C1" s="1" t="inlineStr">
        <is>
          <t>req_dt</t>
        </is>
      </c>
      <c r="D1" s="1" t="inlineStr">
        <is>
          <t>change_type</t>
        </is>
      </c>
      <c r="E1" s="1" t="inlineStr">
        <is>
          <t>from_fund_cd</t>
        </is>
      </c>
      <c r="F1" s="1" t="inlineStr">
        <is>
          <t>to_fund_cd</t>
        </is>
      </c>
      <c r="G1" s="1" t="inlineStr">
        <is>
          <t>ratio</t>
        </is>
      </c>
      <c r="H1" s="1" t="inlineStr">
        <is>
          <t>change_cnt_ytd</t>
        </is>
      </c>
      <c r="I1" s="1" t="inlineStr">
        <is>
          <t>fund_cnt_after</t>
        </is>
      </c>
      <c r="J1" s="1" t="inlineStr">
        <is>
          <t>channel</t>
        </is>
      </c>
      <c r="L1" t="inlineStr">
        <is>
          <t>※ change_cnt_ytd: 이번 건 제외 올해 완료 횟수 / fund_cnt_after: 변경 후 편입 펀드 수</t>
        </is>
      </c>
    </row>
    <row r="2">
      <c r="A2" s="2" t="inlineStr">
        <is>
          <t>REQ-0001</t>
        </is>
      </c>
      <c r="B2" s="2" t="inlineStr">
        <is>
          <t>TEST-0001</t>
        </is>
      </c>
      <c r="C2" s="2" t="inlineStr">
        <is>
          <t>2026-10-01</t>
        </is>
      </c>
      <c r="D2" s="2" t="inlineStr">
        <is>
          <t>적립금이전</t>
        </is>
      </c>
      <c r="E2" s="2" t="inlineStr">
        <is>
          <t>VF05</t>
        </is>
      </c>
      <c r="F2" s="2" t="inlineStr">
        <is>
          <t>VF03</t>
        </is>
      </c>
      <c r="G2" s="2" t="n">
        <v>30</v>
      </c>
      <c r="H2" s="2" t="n">
        <v>3</v>
      </c>
      <c r="I2" s="2" t="n">
        <v>4</v>
      </c>
      <c r="J2" s="2" t="inlineStr">
        <is>
          <t>창구</t>
        </is>
      </c>
    </row>
    <row r="3">
      <c r="A3" s="2" t="inlineStr">
        <is>
          <t>REQ-0002</t>
        </is>
      </c>
      <c r="B3" s="2" t="inlineStr">
        <is>
          <t>TEST-0002</t>
        </is>
      </c>
      <c r="C3" s="2" t="inlineStr">
        <is>
          <t>2026-10-01</t>
        </is>
      </c>
      <c r="D3" s="2" t="inlineStr">
        <is>
          <t>투입비율변경</t>
        </is>
      </c>
      <c r="E3" s="2" t="inlineStr">
        <is>
          <t>VF01</t>
        </is>
      </c>
      <c r="F3" s="2" t="inlineStr">
        <is>
          <t>VF02</t>
        </is>
      </c>
      <c r="G3" s="2" t="n">
        <v>50</v>
      </c>
      <c r="H3" s="2" t="n">
        <v>11</v>
      </c>
      <c r="I3" s="2" t="n">
        <v>3</v>
      </c>
      <c r="J3" s="2" t="inlineStr">
        <is>
          <t>콜센터</t>
        </is>
      </c>
    </row>
    <row r="4">
      <c r="A4" s="2" t="inlineStr">
        <is>
          <t>REQ-0003</t>
        </is>
      </c>
      <c r="B4" s="2" t="inlineStr">
        <is>
          <t>TEST-0003</t>
        </is>
      </c>
      <c r="C4" s="2" t="inlineStr">
        <is>
          <t>2026-10-02</t>
        </is>
      </c>
      <c r="D4" s="2" t="inlineStr">
        <is>
          <t>적립금이전</t>
        </is>
      </c>
      <c r="E4" s="2" t="inlineStr">
        <is>
          <t>VF03</t>
        </is>
      </c>
      <c r="F4" s="2" t="inlineStr">
        <is>
          <t>VF07</t>
        </is>
      </c>
      <c r="G4" s="2" t="n">
        <v>20</v>
      </c>
      <c r="H4" s="2" t="n">
        <v>5</v>
      </c>
      <c r="I4" s="2" t="n">
        <v>3</v>
      </c>
      <c r="J4" s="2" t="inlineStr">
        <is>
          <t>창구</t>
        </is>
      </c>
    </row>
    <row r="5">
      <c r="A5" s="2" t="inlineStr">
        <is>
          <t>REQ-0004</t>
        </is>
      </c>
      <c r="B5" s="2" t="inlineStr">
        <is>
          <t>TEST-0004</t>
        </is>
      </c>
      <c r="C5" s="2" t="inlineStr">
        <is>
          <t>2026-10-02</t>
        </is>
      </c>
      <c r="D5" s="2" t="inlineStr">
        <is>
          <t>투입비율변경</t>
        </is>
      </c>
      <c r="E5" s="2" t="inlineStr">
        <is>
          <t>VF04</t>
        </is>
      </c>
      <c r="F5" s="2" t="inlineStr">
        <is>
          <t>VF01</t>
        </is>
      </c>
      <c r="G5" s="2" t="n">
        <v>15</v>
      </c>
      <c r="H5" s="2" t="n">
        <v>2</v>
      </c>
      <c r="I5" s="2" t="n">
        <v>5</v>
      </c>
      <c r="J5" s="2" t="inlineStr">
        <is>
          <t>창구</t>
        </is>
      </c>
    </row>
    <row r="6">
      <c r="A6" s="2" t="inlineStr">
        <is>
          <t>REQ-0005</t>
        </is>
      </c>
      <c r="B6" s="2" t="inlineStr">
        <is>
          <t>TEST-0005</t>
        </is>
      </c>
      <c r="C6" s="2" t="inlineStr">
        <is>
          <t>2026-10-05</t>
        </is>
      </c>
      <c r="D6" s="2" t="inlineStr">
        <is>
          <t>적립금이전</t>
        </is>
      </c>
      <c r="E6" s="2" t="inlineStr">
        <is>
          <t>VF02</t>
        </is>
      </c>
      <c r="F6" s="2" t="inlineStr">
        <is>
          <t>VF06</t>
        </is>
      </c>
      <c r="G6" s="2" t="n">
        <v>100</v>
      </c>
      <c r="H6" s="2" t="n">
        <v>13</v>
      </c>
      <c r="I6" s="2" t="n">
        <v>2</v>
      </c>
      <c r="J6" s="2" t="inlineStr">
        <is>
          <t>콜센터</t>
        </is>
      </c>
    </row>
    <row r="7">
      <c r="A7" s="2" t="inlineStr">
        <is>
          <t>REQ-0006</t>
        </is>
      </c>
      <c r="B7" s="2" t="inlineStr">
        <is>
          <t>TEST-0006</t>
        </is>
      </c>
      <c r="C7" s="2" t="inlineStr">
        <is>
          <t>2026-10-05</t>
        </is>
      </c>
      <c r="D7" s="2" t="inlineStr">
        <is>
          <t>투입비율변경</t>
        </is>
      </c>
      <c r="E7" s="2" t="inlineStr">
        <is>
          <t>VF06</t>
        </is>
      </c>
      <c r="F7" s="2" t="inlineStr">
        <is>
          <t>VF05</t>
        </is>
      </c>
      <c r="G7" s="2" t="n">
        <v>40</v>
      </c>
      <c r="H7" s="2" t="n">
        <v>0</v>
      </c>
      <c r="I7" s="2" t="n">
        <v>5</v>
      </c>
      <c r="J7" s="2" t="inlineStr">
        <is>
          <t>창구</t>
        </is>
      </c>
    </row>
    <row r="8">
      <c r="A8" s="2" t="inlineStr">
        <is>
          <t>REQ-0007</t>
        </is>
      </c>
      <c r="B8" s="2" t="inlineStr">
        <is>
          <t>TEST-0007</t>
        </is>
      </c>
      <c r="C8" s="2" t="inlineStr">
        <is>
          <t>2026-10-06</t>
        </is>
      </c>
      <c r="D8" s="2" t="inlineStr">
        <is>
          <t>적립금이전</t>
        </is>
      </c>
      <c r="E8" s="2" t="inlineStr">
        <is>
          <t>VF05</t>
        </is>
      </c>
      <c r="F8" s="2" t="inlineStr">
        <is>
          <t>VF01</t>
        </is>
      </c>
      <c r="G8" s="2" t="n">
        <v>60</v>
      </c>
      <c r="H8" s="2" t="n">
        <v>7</v>
      </c>
      <c r="I8" s="2" t="n">
        <v>4</v>
      </c>
      <c r="J8" s="2" t="inlineStr">
        <is>
          <t>콜센터</t>
        </is>
      </c>
    </row>
    <row r="9">
      <c r="A9" s="2" t="inlineStr">
        <is>
          <t>REQ-0008</t>
        </is>
      </c>
      <c r="B9" s="2" t="inlineStr">
        <is>
          <t>TEST-0008</t>
        </is>
      </c>
      <c r="C9" s="2" t="inlineStr">
        <is>
          <t>2026-10-06</t>
        </is>
      </c>
      <c r="D9" s="2" t="inlineStr">
        <is>
          <t>투입비율변경</t>
        </is>
      </c>
      <c r="E9" s="2" t="inlineStr">
        <is>
          <t>VF03</t>
        </is>
      </c>
      <c r="F9" s="2" t="inlineStr">
        <is>
          <t>VF04</t>
        </is>
      </c>
      <c r="G9" s="2" t="n">
        <v>30</v>
      </c>
      <c r="H9" s="2" t="n">
        <v>12</v>
      </c>
      <c r="I9" s="2" t="n">
        <v>6</v>
      </c>
      <c r="J9" s="2" t="inlineStr">
        <is>
          <t>창구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req_no</t>
        </is>
      </c>
      <c r="B1" s="1" t="inlineStr">
        <is>
          <t>이번건포함_횟수</t>
        </is>
      </c>
      <c r="C1" s="1" t="inlineStr">
        <is>
          <t>수수료(원)</t>
        </is>
      </c>
      <c r="D1" s="1" t="inlineStr">
        <is>
          <t>10%단위</t>
        </is>
      </c>
      <c r="E1" s="1" t="inlineStr">
        <is>
          <t>펀드수_5개이하</t>
        </is>
      </c>
      <c r="F1" s="1" t="inlineStr">
        <is>
          <t>변경후펀드_판매상태</t>
        </is>
      </c>
      <c r="G1" s="1" t="inlineStr">
        <is>
          <t>판정</t>
        </is>
      </c>
      <c r="H1" s="1" t="inlineStr">
        <is>
          <t>처리자</t>
        </is>
      </c>
      <c r="I1" s="1" t="inlineStr">
        <is>
          <t>비고</t>
        </is>
      </c>
      <c r="K1" t="inlineStr">
        <is>
          <t>작업순서: ①신청샘플 붙여넣기 ②수식 아래로 채우기 ③판정 '반려/보완' 건 필터 ④비고에 사유 기록</t>
        </is>
      </c>
    </row>
    <row r="2">
      <c r="A2" s="2">
        <f>신청샘플!A2</f>
        <v/>
      </c>
      <c r="B2" s="2">
        <f>신청샘플!H2+1</f>
        <v/>
      </c>
      <c r="C2" s="3">
        <f>MAX(0,B2-12)*2000</f>
        <v/>
      </c>
      <c r="D2" s="2">
        <f>IF(MOD(신청샘플!G2,10)=0,"OK","E-103")</f>
        <v/>
      </c>
      <c r="E2" s="2">
        <f>IF(신청샘플!I2&lt;=5,"OK","E-104")</f>
        <v/>
      </c>
      <c r="F2" s="2">
        <f>VLOOKUP(신청샘플!F2,펀드목록!$A:$E,5,FALSE)</f>
        <v/>
      </c>
      <c r="G2" s="2">
        <f>IF(AND(D2="OK",E2="OK",F2="판매중"),"처리","반려/보완")</f>
        <v/>
      </c>
      <c r="H2" s="2" t="inlineStr">
        <is>
          <t>담당자A</t>
        </is>
      </c>
      <c r="I2" s="2" t="n"/>
    </row>
    <row r="3">
      <c r="A3" s="2">
        <f>신청샘플!A3</f>
        <v/>
      </c>
      <c r="B3" s="2">
        <f>신청샘플!H3+1</f>
        <v/>
      </c>
      <c r="C3" s="3">
        <f>MAX(0,B3-12)*2000</f>
        <v/>
      </c>
      <c r="D3" s="2">
        <f>IF(MOD(신청샘플!G3,10)=0,"OK","E-103")</f>
        <v/>
      </c>
      <c r="E3" s="2">
        <f>IF(신청샘플!I3&lt;=5,"OK","E-104")</f>
        <v/>
      </c>
      <c r="F3" s="2">
        <f>VLOOKUP(신청샘플!F3,펀드목록!$A:$E,5,FALSE)</f>
        <v/>
      </c>
      <c r="G3" s="2">
        <f>IF(AND(D3="OK",E3="OK",F3="판매중"),"처리","반려/보완")</f>
        <v/>
      </c>
      <c r="H3" s="2" t="inlineStr">
        <is>
          <t>담당자A</t>
        </is>
      </c>
      <c r="I3" s="2" t="n"/>
    </row>
    <row r="4">
      <c r="A4" s="2">
        <f>신청샘플!A4</f>
        <v/>
      </c>
      <c r="B4" s="2">
        <f>신청샘플!H4+1</f>
        <v/>
      </c>
      <c r="C4" s="3">
        <f>MAX(0,B4-12)*2000</f>
        <v/>
      </c>
      <c r="D4" s="2">
        <f>IF(MOD(신청샘플!G4,10)=0,"OK","E-103")</f>
        <v/>
      </c>
      <c r="E4" s="2">
        <f>IF(신청샘플!I4&lt;=5,"OK","E-104")</f>
        <v/>
      </c>
      <c r="F4" s="2">
        <f>VLOOKUP(신청샘플!F4,펀드목록!$A:$E,5,FALSE)</f>
        <v/>
      </c>
      <c r="G4" s="2">
        <f>IF(AND(D4="OK",E4="OK",F4="판매중"),"처리","반려/보완")</f>
        <v/>
      </c>
      <c r="H4" s="2" t="inlineStr">
        <is>
          <t>담당자A</t>
        </is>
      </c>
      <c r="I4" s="2" t="n"/>
    </row>
    <row r="5">
      <c r="A5" s="2">
        <f>신청샘플!A5</f>
        <v/>
      </c>
      <c r="B5" s="2">
        <f>신청샘플!H5+1</f>
        <v/>
      </c>
      <c r="C5" s="3">
        <f>MAX(0,B5-12)*2000</f>
        <v/>
      </c>
      <c r="D5" s="2">
        <f>IF(MOD(신청샘플!G5,10)=0,"OK","E-103")</f>
        <v/>
      </c>
      <c r="E5" s="2">
        <f>IF(신청샘플!I5&lt;=5,"OK","E-104")</f>
        <v/>
      </c>
      <c r="F5" s="2">
        <f>VLOOKUP(신청샘플!F5,펀드목록!$A:$E,5,FALSE)</f>
        <v/>
      </c>
      <c r="G5" s="2">
        <f>IF(AND(D5="OK",E5="OK",F5="판매중"),"처리","반려/보완")</f>
        <v/>
      </c>
      <c r="H5" s="2" t="inlineStr">
        <is>
          <t>담당자A</t>
        </is>
      </c>
      <c r="I5" s="2" t="n"/>
    </row>
    <row r="6">
      <c r="A6" s="2">
        <f>신청샘플!A6</f>
        <v/>
      </c>
      <c r="B6" s="2">
        <f>신청샘플!H6+1</f>
        <v/>
      </c>
      <c r="C6" s="3">
        <f>MAX(0,B6-12)*2000</f>
        <v/>
      </c>
      <c r="D6" s="2">
        <f>IF(MOD(신청샘플!G6,10)=0,"OK","E-103")</f>
        <v/>
      </c>
      <c r="E6" s="2">
        <f>IF(신청샘플!I6&lt;=5,"OK","E-104")</f>
        <v/>
      </c>
      <c r="F6" s="2">
        <f>VLOOKUP(신청샘플!F6,펀드목록!$A:$E,5,FALSE)</f>
        <v/>
      </c>
      <c r="G6" s="2">
        <f>IF(AND(D6="OK",E6="OK",F6="판매중"),"처리","반려/보완")</f>
        <v/>
      </c>
      <c r="H6" s="2" t="inlineStr">
        <is>
          <t>담당자A</t>
        </is>
      </c>
      <c r="I6" s="2" t="n"/>
    </row>
    <row r="7">
      <c r="A7" s="2">
        <f>신청샘플!A7</f>
        <v/>
      </c>
      <c r="B7" s="2">
        <f>신청샘플!H7+1</f>
        <v/>
      </c>
      <c r="C7" s="3">
        <f>MAX(0,B7-12)*2000</f>
        <v/>
      </c>
      <c r="D7" s="2">
        <f>IF(MOD(신청샘플!G7,10)=0,"OK","E-103")</f>
        <v/>
      </c>
      <c r="E7" s="2">
        <f>IF(신청샘플!I7&lt;=5,"OK","E-104")</f>
        <v/>
      </c>
      <c r="F7" s="2">
        <f>VLOOKUP(신청샘플!F7,펀드목록!$A:$E,5,FALSE)</f>
        <v/>
      </c>
      <c r="G7" s="2">
        <f>IF(AND(D7="OK",E7="OK",F7="판매중"),"처리","반려/보완")</f>
        <v/>
      </c>
      <c r="H7" s="2" t="inlineStr">
        <is>
          <t>담당자A</t>
        </is>
      </c>
      <c r="I7" s="2" t="n"/>
    </row>
    <row r="8">
      <c r="A8" s="2">
        <f>신청샘플!A8</f>
        <v/>
      </c>
      <c r="B8" s="2">
        <f>신청샘플!H8+1</f>
        <v/>
      </c>
      <c r="C8" s="3">
        <f>MAX(0,B8-12)*2000</f>
        <v/>
      </c>
      <c r="D8" s="2">
        <f>IF(MOD(신청샘플!G8,10)=0,"OK","E-103")</f>
        <v/>
      </c>
      <c r="E8" s="2">
        <f>IF(신청샘플!I8&lt;=5,"OK","E-104")</f>
        <v/>
      </c>
      <c r="F8" s="2">
        <f>VLOOKUP(신청샘플!F8,펀드목록!$A:$E,5,FALSE)</f>
        <v/>
      </c>
      <c r="G8" s="2">
        <f>IF(AND(D8="OK",E8="OK",F8="판매중"),"처리","반려/보완")</f>
        <v/>
      </c>
      <c r="H8" s="2" t="inlineStr">
        <is>
          <t>담당자A</t>
        </is>
      </c>
      <c r="I8" s="2" t="n"/>
    </row>
    <row r="9">
      <c r="A9" s="2">
        <f>신청샘플!A9</f>
        <v/>
      </c>
      <c r="B9" s="2">
        <f>신청샘플!H9+1</f>
        <v/>
      </c>
      <c r="C9" s="3">
        <f>MAX(0,B9-12)*2000</f>
        <v/>
      </c>
      <c r="D9" s="2">
        <f>IF(MOD(신청샘플!G9,10)=0,"OK","E-103")</f>
        <v/>
      </c>
      <c r="E9" s="2">
        <f>IF(신청샘플!I9&lt;=5,"OK","E-104")</f>
        <v/>
      </c>
      <c r="F9" s="2">
        <f>VLOOKUP(신청샘플!F9,펀드목록!$A:$E,5,FALSE)</f>
        <v/>
      </c>
      <c r="G9" s="2">
        <f>IF(AND(D9="OK",E9="OK",F9="판매중"),"처리","반려/보완")</f>
        <v/>
      </c>
      <c r="H9" s="2" t="inlineStr">
        <is>
          <t>담당자A</t>
        </is>
      </c>
      <c r="I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2026-10-13T22:55:59Z</dcterms:created>
  <dcterms:modified xmlns:dcterms="http://purl.org/dc/terms/" xmlns:xsi="http://www.w3.org/2001/XMLSchema-instance" xsi:type="dcterms:W3CDTF">2026-10-13T22:55:59Z</dcterms:modified>
</cp:coreProperties>
</file>